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tent Calendar" sheetId="2" state="visible" r:id="rId4"/>
    <sheet name="Performance Tracker" sheetId="3" state="visible" r:id="rId5"/>
    <sheet name="Outreach Tracker" sheetId="4" state="visible" r:id="rId6"/>
  </sheets>
  <definedNames>
    <definedName function="false" hidden="true" localSheetId="1" name="_xlnm._FilterDatabase" vbProcedure="false">'Content Calendar'!$A$3:$J$33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<sst xmlns="http://schemas.openxmlformats.org/spreadsheetml/2006/main" count="364" uniqueCount="217">
  <si>
    <t xml:space="preserve">How to use this workbook</t>
  </si>
  <si>
    <t xml:space="preserve">Content Calendar</t>
  </si>
  <si>
    <t xml:space="preserve">The 30-day plan: pillar, format, post topic, poll, hashtags, CTA and asset for each day. Filterable. Update the Status column as you go (Not started / Drafted / Scheduled / Posted).</t>
  </si>
  <si>
    <t xml:space="preserve">Performance Tracker</t>
  </si>
  <si>
    <t xml:space="preserve">Fill in daily from LinkedIn analytics. Engagement Rate = (reactions+comments+shares) / impressions — enter as a percent. Totals row auto-sums. Watch Profile Views and DMs — those are the real signals of inbound interest.</t>
  </si>
  <si>
    <t xml:space="preserve">Outreach Tracker</t>
  </si>
  <si>
    <t xml:space="preserve">Log every cold email / DM you send so you never double-message or miss a follow-up. Replace the grey EXAMPLE rows. Cadence per prospect: Day 0, Day 3-4, Day 8-9, then stop.</t>
  </si>
  <si>
    <t xml:space="preserve">Full copy</t>
  </si>
  <si>
    <t xml:space="preserve">Post text -&gt; 01-linkedin-posts.md. Poll text -&gt; 02-linkedin-polls.md. Outreach -&gt; outreach/cold-outreach-email-and-dm.md. Strategy -&gt; 00-strategy-and-architecture.md.</t>
  </si>
  <si>
    <t xml:space="preserve">Pillars</t>
  </si>
  <si>
    <t xml:space="preserve">P1 AWS architecture · P2 Kubernetes/EKS · P3 IaC &amp; CI/CD · P4 Observability/SRE · P5 FinOps · P6 Security · P7 Career/Availability.</t>
  </si>
  <si>
    <t xml:space="preserve">Daily routine</t>
  </si>
  <si>
    <t xml:space="preserve">Post AM -&gt; reply to comments 30 min -&gt; launch poll early afternoon + pin seed comment -&gt; evening, reply to poll comments and engage on 3-5 other people's posts.</t>
  </si>
  <si>
    <t xml:space="preserve">Best windows</t>
  </si>
  <si>
    <t xml:space="preserve">Tue-Thu strongest. 8-10am IST (India morning) or 7-9pm IST (US morning). Reply to every comment in the first 60-90 min.</t>
  </si>
  <si>
    <t xml:space="preserve">Honest expectation</t>
  </si>
  <si>
    <t xml:space="preserve">This is a trust builder, not a lead machine. It makes the cold outreach convert better. Consistency + specificity + fast early engagement are what move the needle.</t>
  </si>
  <si>
    <t xml:space="preserve">30-Day LinkedIn Campaign — Content Calendar</t>
  </si>
  <si>
    <t xml:space="preserve">Venkatesh Sethumurugan · Senior Cloud/DevOps Engineer · 1 post + 1 poll per day · portfolio: venkatesh-portfolio-website.vercel.app</t>
  </si>
  <si>
    <t xml:space="preserve">Day</t>
  </si>
  <si>
    <t xml:space="preserve">Date</t>
  </si>
  <si>
    <t xml:space="preserve">Pillar</t>
  </si>
  <si>
    <t xml:space="preserve">Format</t>
  </si>
  <si>
    <t xml:space="preserve">Post Topic</t>
  </si>
  <si>
    <t xml:space="preserve">Poll Question</t>
  </si>
  <si>
    <t xml:space="preserve">Hashtags</t>
  </si>
  <si>
    <t xml:space="preserve">CTA</t>
  </si>
  <si>
    <t xml:space="preserve">Asset Needed</t>
  </si>
  <si>
    <t xml:space="preserve">Status</t>
  </si>
  <si>
    <t xml:space="preserve">Mon 29 Jun</t>
  </si>
  <si>
    <t xml:space="preserve">P7 Career</t>
  </si>
  <si>
    <t xml:space="preserve">Availability</t>
  </si>
  <si>
    <t xml:space="preserve">Intro: what I do + open to work</t>
  </si>
  <si>
    <t xml:space="preserve">Hardest DevOps skill to hire for?</t>
  </si>
  <si>
    <t xml:space="preserve">#DevOps #AWS #Kubernetes #OpenToWork</t>
  </si>
  <si>
    <t xml:space="preserve">Profile</t>
  </si>
  <si>
    <t xml:space="preserve">Headshot / banner</t>
  </si>
  <si>
    <t xml:space="preserve">Not started</t>
  </si>
  <si>
    <t xml:space="preserve">Tue 30 Jun</t>
  </si>
  <si>
    <t xml:space="preserve">P5 FinOps</t>
  </si>
  <si>
    <t xml:space="preserve">Mini case study</t>
  </si>
  <si>
    <t xml:space="preserve">The $8k/mo AWS cut — 3 levers</t>
  </si>
  <si>
    <t xml:space="preserve">Biggest hidden AWS cost leak?</t>
  </si>
  <si>
    <t xml:space="preserve">#AWS #FinOps #CloudCost #DevOps</t>
  </si>
  <si>
    <t xml:space="preserve">Click</t>
  </si>
  <si>
    <t xml:space="preserve">Cost chart</t>
  </si>
  <si>
    <t xml:space="preserve">Wed 01 Jul</t>
  </si>
  <si>
    <t xml:space="preserve">P2 K8s</t>
  </si>
  <si>
    <t xml:space="preserve">War story</t>
  </si>
  <si>
    <t xml:space="preserve">The OOMKilled mystery</t>
  </si>
  <si>
    <t xml:space="preserve">First thing you blame for OOMKilled?</t>
  </si>
  <si>
    <t xml:space="preserve">#Kubernetes #EKS #SRE #Troubleshooting</t>
  </si>
  <si>
    <t xml:space="preserve">Comment</t>
  </si>
  <si>
    <t xml:space="preserve">YAML snippet</t>
  </si>
  <si>
    <t xml:space="preserve">Thu 02 Jul</t>
  </si>
  <si>
    <t xml:space="preserve">P3 IaC</t>
  </si>
  <si>
    <t xml:space="preserve">How-to</t>
  </si>
  <si>
    <t xml:space="preserve">Terraform module that saved 6 days</t>
  </si>
  <si>
    <t xml:space="preserve">Best Terraform state backend?</t>
  </si>
  <si>
    <t xml:space="preserve">#Terraform #IaC #DevOps #AWS</t>
  </si>
  <si>
    <t xml:space="preserve">Module diagram</t>
  </si>
  <si>
    <t xml:space="preserve">Fri 03 Jul</t>
  </si>
  <si>
    <t xml:space="preserve">P4 SRE</t>
  </si>
  <si>
    <t xml:space="preserve">3am page → 50% MTTR cut</t>
  </si>
  <si>
    <t xml:space="preserve">First thing you check in an incident?</t>
  </si>
  <si>
    <t xml:space="preserve">#SRE #DevOps #IncidentResponse</t>
  </si>
  <si>
    <t xml:space="preserve">-</t>
  </si>
  <si>
    <t xml:space="preserve">Sat 04 Jul</t>
  </si>
  <si>
    <t xml:space="preserve">P1 AWS</t>
  </si>
  <si>
    <t xml:space="preserve">Teardown</t>
  </si>
  <si>
    <t xml:space="preserve">Multi-account Landing Zone</t>
  </si>
  <si>
    <t xml:space="preserve">How to structure AWS accounts?</t>
  </si>
  <si>
    <t xml:space="preserve">#AWS #CloudArchitecture #Terraform</t>
  </si>
  <si>
    <t xml:space="preserve">LZ architecture diagram</t>
  </si>
  <si>
    <t xml:space="preserve">Sun 05 Jul</t>
  </si>
  <si>
    <t xml:space="preserve">X vs Y</t>
  </si>
  <si>
    <t xml:space="preserve">Cluster Autoscaler vs Karpenter</t>
  </si>
  <si>
    <t xml:space="preserve">EKS autoscaler you run?</t>
  </si>
  <si>
    <t xml:space="preserve">#Kubernetes #Karpenter #EKS #FinOps</t>
  </si>
  <si>
    <t xml:space="preserve">Comparison card</t>
  </si>
  <si>
    <t xml:space="preserve">Mon 06 Jul</t>
  </si>
  <si>
    <t xml:space="preserve">P6 Security</t>
  </si>
  <si>
    <t xml:space="preserve">Checklist</t>
  </si>
  <si>
    <t xml:space="preserve">7 things in every cluster audit</t>
  </si>
  <si>
    <t xml:space="preserve">Where do your secrets live?</t>
  </si>
  <si>
    <t xml:space="preserve">#Kubernetes #DevSecOps #Security</t>
  </si>
  <si>
    <t xml:space="preserve">Checklist carousel</t>
  </si>
  <si>
    <t xml:space="preserve">Tue 07 Jul</t>
  </si>
  <si>
    <t xml:space="preserve">P3 GitOps</t>
  </si>
  <si>
    <t xml:space="preserve">Mistake→lesson</t>
  </si>
  <si>
    <t xml:space="preserve">Manual deploys → ArgoCD</t>
  </si>
  <si>
    <t xml:space="preserve">Push vs pull deploys?</t>
  </si>
  <si>
    <t xml:space="preserve">#GitOps #ArgoCD #Kubernetes #CICD</t>
  </si>
  <si>
    <t xml:space="preserve">Wed 08 Jul</t>
  </si>
  <si>
    <t xml:space="preserve">P4 Observability</t>
  </si>
  <si>
    <t xml:space="preserve">Alerts people do not ignore</t>
  </si>
  <si>
    <t xml:space="preserve">#1 cause of alert fatigue?</t>
  </si>
  <si>
    <t xml:space="preserve">#SRE #Observability #Monitoring</t>
  </si>
  <si>
    <t xml:space="preserve">Thu 09 Jul</t>
  </si>
  <si>
    <t xml:space="preserve">Myth-buster</t>
  </si>
  <si>
    <t xml:space="preserve">"Spot is too risky for prod"</t>
  </si>
  <si>
    <t xml:space="preserve">Spot in production — yes/no?</t>
  </si>
  <si>
    <t xml:space="preserve">#AWS #FinOps #Spot #CostOptimization</t>
  </si>
  <si>
    <t xml:space="preserve">Fri 10 Jul</t>
  </si>
  <si>
    <t xml:space="preserve">The NAT Gateway bill surprise</t>
  </si>
  <si>
    <t xml:space="preserve">Most surprising AWS bill line?</t>
  </si>
  <si>
    <t xml:space="preserve">#AWS #FinOps #Networking #DevOps</t>
  </si>
  <si>
    <t xml:space="preserve">Bill screenshot</t>
  </si>
  <si>
    <t xml:space="preserve">Sat 11 Jul</t>
  </si>
  <si>
    <t xml:space="preserve">Zero-downtime blue-green on EKS</t>
  </si>
  <si>
    <t xml:space="preserve">Zero-downtime strategy?</t>
  </si>
  <si>
    <t xml:space="preserve">#Kubernetes #EKS #CICD #ArgoCD</t>
  </si>
  <si>
    <t xml:space="preserve">Blue-green diagram</t>
  </si>
  <si>
    <t xml:space="preserve">Sun 12 Jul</t>
  </si>
  <si>
    <t xml:space="preserve">P3 CI/CD</t>
  </si>
  <si>
    <t xml:space="preserve">Pipeline: 2 weeks → 3 days</t>
  </si>
  <si>
    <t xml:space="preserve">Slowest part of your pipeline?</t>
  </si>
  <si>
    <t xml:space="preserve">#CICD #DevOps #GitHubActions</t>
  </si>
  <si>
    <t xml:space="preserve">Pipeline diagram</t>
  </si>
  <si>
    <t xml:space="preserve">Mon 13 Jul</t>
  </si>
  <si>
    <t xml:space="preserve">What I would fix in week 1</t>
  </si>
  <si>
    <t xml:space="preserve">What should a new hire fix first?</t>
  </si>
  <si>
    <t xml:space="preserve">#DevOps #AWS #OpenToWork #Freelance</t>
  </si>
  <si>
    <t xml:space="preserve">Tue 14 Jul</t>
  </si>
  <si>
    <t xml:space="preserve">The failover that was not tested</t>
  </si>
  <si>
    <t xml:space="preserve">Tested failover in prod?</t>
  </si>
  <si>
    <t xml:space="preserve">#SRE #AWS #RDS #DisasterRecovery</t>
  </si>
  <si>
    <t xml:space="preserve">Wed 15 Jul</t>
  </si>
  <si>
    <t xml:space="preserve">P6 DevSecOps</t>
  </si>
  <si>
    <t xml:space="preserve">The IAM policy that was just *</t>
  </si>
  <si>
    <t xml:space="preserve">How you build least-privilege?</t>
  </si>
  <si>
    <t xml:space="preserve">#AWS #IAM #DevSecOps #Security</t>
  </si>
  <si>
    <t xml:space="preserve">Thu 16 Jul</t>
  </si>
  <si>
    <t xml:space="preserve">VPC design mistakes</t>
  </si>
  <si>
    <t xml:space="preserve">Public vs private subnets default?</t>
  </si>
  <si>
    <t xml:space="preserve">#AWS #Networking #VPC #DevOps</t>
  </si>
  <si>
    <t xml:space="preserve">VPC diagram</t>
  </si>
  <si>
    <t xml:space="preserve">Fri 17 Jul</t>
  </si>
  <si>
    <t xml:space="preserve">"Kubernetes is overkill"</t>
  </si>
  <si>
    <t xml:space="preserve">When is K8s genuinely overkill?</t>
  </si>
  <si>
    <t xml:space="preserve">#Kubernetes #EKS #PlatformEngineering</t>
  </si>
  <si>
    <t xml:space="preserve">Sat 18 Jul</t>
  </si>
  <si>
    <t xml:space="preserve">Terraform modules that scale</t>
  </si>
  <si>
    <t xml:space="preserve">Monorepo or multi-repo Terraform?</t>
  </si>
  <si>
    <t xml:space="preserve">#Terraform #IaC #PlatformEngineering</t>
  </si>
  <si>
    <t xml:space="preserve">Repo structure card</t>
  </si>
  <si>
    <t xml:space="preserve">Sun 19 Jul</t>
  </si>
  <si>
    <t xml:space="preserve">Right-sizing without breaking prod</t>
  </si>
  <si>
    <t xml:space="preserve">How you decide oversized?</t>
  </si>
  <si>
    <t xml:space="preserve">#FinOps #AWS #CloudCost #SRE</t>
  </si>
  <si>
    <t xml:space="preserve">Mon 20 Jul</t>
  </si>
  <si>
    <t xml:space="preserve">The 4 signals that matter</t>
  </si>
  <si>
    <t xml:space="preserve">Logs, metrics or traces first?</t>
  </si>
  <si>
    <t xml:space="preserve">#SRE #Observability #Prometheus #Grafana</t>
  </si>
  <si>
    <t xml:space="preserve">Golden signals card</t>
  </si>
  <si>
    <t xml:space="preserve">Tue 21 Jul</t>
  </si>
  <si>
    <t xml:space="preserve">The Transit Gateway routing loop</t>
  </si>
  <si>
    <t xml:space="preserve">Hardest thing to debug in AWS?</t>
  </si>
  <si>
    <t xml:space="preserve">#AWS #Networking #CloudArchitecture</t>
  </si>
  <si>
    <t xml:space="preserve">Wed 22 Jul</t>
  </si>
  <si>
    <t xml:space="preserve">HPA done right</t>
  </si>
  <si>
    <t xml:space="preserve">What do you scale on?</t>
  </si>
  <si>
    <t xml:space="preserve">#Kubernetes #EKS #KEDA #SRE</t>
  </si>
  <si>
    <t xml:space="preserve">Thu 23 Jul</t>
  </si>
  <si>
    <t xml:space="preserve">The secrets management ladder</t>
  </si>
  <si>
    <t xml:space="preserve">Your secrets management honestly?</t>
  </si>
  <si>
    <t xml:space="preserve">#DevSecOps #Security #AWS #Vault</t>
  </si>
  <si>
    <t xml:space="preserve">Ladder graphic</t>
  </si>
  <si>
    <t xml:space="preserve">Fri 24 Jul</t>
  </si>
  <si>
    <t xml:space="preserve">The drift that broke prod</t>
  </si>
  <si>
    <t xml:space="preserve">How you catch config drift?</t>
  </si>
  <si>
    <t xml:space="preserve">#GitOps #ArgoCD #Terraform #SRE</t>
  </si>
  <si>
    <t xml:space="preserve">Sat 25 Jul</t>
  </si>
  <si>
    <t xml:space="preserve">The runbook that cut onboarding 3wk</t>
  </si>
  <si>
    <t xml:space="preserve">Do your runbooks get used?</t>
  </si>
  <si>
    <t xml:space="preserve">#SRE #DevOps #Documentation</t>
  </si>
  <si>
    <t xml:space="preserve">Sun 26 Jul</t>
  </si>
  <si>
    <t xml:space="preserve">ECS vs EKS — honest take</t>
  </si>
  <si>
    <t xml:space="preserve">ECS or EKS for a new platform?</t>
  </si>
  <si>
    <t xml:space="preserve">#AWS #Kubernetes #ECS #EKS</t>
  </si>
  <si>
    <t xml:space="preserve">Mon 27 Jul</t>
  </si>
  <si>
    <t xml:space="preserve">99.95% uptime — the mechanisms</t>
  </si>
  <si>
    <t xml:space="preserve">Uptime your product promises?</t>
  </si>
  <si>
    <t xml:space="preserve">#SRE #AWS #Reliability #Kubernetes</t>
  </si>
  <si>
    <t xml:space="preserve">Tue 28 Jul</t>
  </si>
  <si>
    <t xml:space="preserve">30-day recap + clear ask</t>
  </si>
  <si>
    <t xml:space="preserve">Best place to find contract work?</t>
  </si>
  <si>
    <t xml:space="preserve">Performance Tracker — fill in daily from LinkedIn analytics</t>
  </si>
  <si>
    <t xml:space="preserve">Post Impressions</t>
  </si>
  <si>
    <t xml:space="preserve">Engagement Rate</t>
  </si>
  <si>
    <t xml:space="preserve">Poll Votes</t>
  </si>
  <si>
    <t xml:space="preserve">Profile Views</t>
  </si>
  <si>
    <t xml:space="preserve">Connections Received</t>
  </si>
  <si>
    <t xml:space="preserve">DMs / Recruiter Msgs</t>
  </si>
  <si>
    <t xml:space="preserve">Portfolio Clicks</t>
  </si>
  <si>
    <t xml:space="preserve">Notes</t>
  </si>
  <si>
    <t xml:space="preserve">TOTAL / AVG</t>
  </si>
  <si>
    <t xml:space="preserve">Cold Outreach Tracker — log every send</t>
  </si>
  <si>
    <t xml:space="preserve">Name</t>
  </si>
  <si>
    <t xml:space="preserve">Company</t>
  </si>
  <si>
    <t xml:space="preserve">Audience</t>
  </si>
  <si>
    <t xml:space="preserve">Channel</t>
  </si>
  <si>
    <t xml:space="preserve">Date Sent</t>
  </si>
  <si>
    <t xml:space="preserve">Touch #</t>
  </si>
  <si>
    <t xml:space="preserve">Replied? (Y/N)</t>
  </si>
  <si>
    <t xml:space="preserve">Outcome</t>
  </si>
  <si>
    <t xml:space="preserve">Next Follow-up</t>
  </si>
  <si>
    <t xml:space="preserve">Jane Doe</t>
  </si>
  <si>
    <t xml:space="preserve">Acme SaaS</t>
  </si>
  <si>
    <t xml:space="preserve">Eng Manager</t>
  </si>
  <si>
    <t xml:space="preserve">LinkedIn DM</t>
  </si>
  <si>
    <t xml:space="preserve">1</t>
  </si>
  <si>
    <t xml:space="preserve">EXAMPLE - replace</t>
  </si>
  <si>
    <t xml:space="preserve">Recruiter Name</t>
  </si>
  <si>
    <t xml:space="preserve">StaffCo</t>
  </si>
  <si>
    <t xml:space="preserve">Recruiter</t>
  </si>
  <si>
    <t xml:space="preserve">Email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</si>
</sst>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3" customFormat="false" ht="45.75" hidden="false" customHeight="true" outlineLevel="0" collapsed="false">
      <c r="A3" s="2" t="s">
        <v>1</v>
      </c>
      <c r="B3" s="3" t="s">
        <v>2</v>
      </c>
    </row>
    <row r="4" customFormat="false" ht="45.75" hidden="false" customHeight="true" outlineLevel="0" collapsed="false">
      <c r="A4" s="2" t="s">
        <v>3</v>
      </c>
      <c r="B4" s="3" t="s">
        <v>4</v>
      </c>
    </row>
    <row r="5" customFormat="false" ht="45.75" hidden="false" customHeight="true" outlineLevel="0" collapsed="false">
      <c r="A5" s="2" t="s">
        <v>5</v>
      </c>
      <c r="B5" s="3" t="s">
        <v>6</v>
      </c>
    </row>
    <row r="6" customFormat="false" ht="45.75" hidden="false" customHeight="true" outlineLevel="0" collapsed="false">
      <c r="A6" s="2" t="s">
        <v>7</v>
      </c>
      <c r="B6" s="3" t="s">
        <v>8</v>
      </c>
    </row>
    <row r="7" customFormat="false" ht="45.75" hidden="false" customHeight="true" outlineLevel="0" collapsed="false">
      <c r="A7" s="2" t="s">
        <v>9</v>
      </c>
      <c r="B7" s="3" t="s">
        <v>10</v>
      </c>
    </row>
    <row r="8" customFormat="false" ht="45.75" hidden="false" customHeight="true" outlineLevel="0" collapsed="false">
      <c r="A8" s="2" t="s">
        <v>11</v>
      </c>
      <c r="B8" s="3" t="s">
        <v>12</v>
      </c>
    </row>
    <row r="9" customFormat="false" ht="45.75" hidden="false" customHeight="true" outlineLevel="0" collapsed="false">
      <c r="A9" s="2" t="s">
        <v>13</v>
      </c>
      <c r="B9" s="3" t="s">
        <v>14</v>
      </c>
    </row>
    <row r="10" customFormat="false" ht="45.75" hidden="false" customHeight="true" outlineLevel="0" collapsed="false">
      <c r="A10" s="2" t="s">
        <v>15</v>
      </c>
      <c r="B10" s="3" t="s">
        <v>16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4" t="s">
        <v>18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</row>
    <row r="4" customFormat="false" ht="23.85" hidden="false" customHeight="false" outlineLevel="0" collapsed="false">
      <c r="A4" s="6" t="n">
        <v>1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</row>
    <row r="5" customFormat="false" ht="15" hidden="false" customHeight="false" outlineLevel="0" collapsed="false">
      <c r="A5" s="8" t="n">
        <v>2</v>
      </c>
      <c r="B5" s="9" t="s">
        <v>38</v>
      </c>
      <c r="C5" s="9" t="s">
        <v>39</v>
      </c>
      <c r="D5" s="9" t="s">
        <v>40</v>
      </c>
      <c r="E5" s="9" t="s">
        <v>41</v>
      </c>
      <c r="F5" s="9" t="s">
        <v>42</v>
      </c>
      <c r="G5" s="9" t="s">
        <v>43</v>
      </c>
      <c r="H5" s="9" t="s">
        <v>44</v>
      </c>
      <c r="I5" s="9" t="s">
        <v>45</v>
      </c>
      <c r="J5" s="9" t="s">
        <v>37</v>
      </c>
    </row>
    <row r="6" customFormat="false" ht="23.85" hidden="false" customHeight="false" outlineLevel="0" collapsed="false">
      <c r="A6" s="10" t="n">
        <v>3</v>
      </c>
      <c r="B6" s="11" t="s">
        <v>46</v>
      </c>
      <c r="C6" s="11" t="s">
        <v>47</v>
      </c>
      <c r="D6" s="11" t="s">
        <v>48</v>
      </c>
      <c r="E6" s="11" t="s">
        <v>49</v>
      </c>
      <c r="F6" s="11" t="s">
        <v>50</v>
      </c>
      <c r="G6" s="11" t="s">
        <v>51</v>
      </c>
      <c r="H6" s="11" t="s">
        <v>52</v>
      </c>
      <c r="I6" s="11" t="s">
        <v>53</v>
      </c>
      <c r="J6" s="11" t="s">
        <v>37</v>
      </c>
    </row>
    <row r="7" customFormat="false" ht="15" hidden="false" customHeight="false" outlineLevel="0" collapsed="false">
      <c r="A7" s="8" t="n">
        <v>4</v>
      </c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  <c r="G7" s="9" t="s">
        <v>59</v>
      </c>
      <c r="H7" s="9" t="s">
        <v>44</v>
      </c>
      <c r="I7" s="9" t="s">
        <v>60</v>
      </c>
      <c r="J7" s="9" t="s">
        <v>37</v>
      </c>
    </row>
    <row r="8" customFormat="false" ht="15" hidden="false" customHeight="false" outlineLevel="0" collapsed="false">
      <c r="A8" s="10" t="n">
        <v>5</v>
      </c>
      <c r="B8" s="11" t="s">
        <v>61</v>
      </c>
      <c r="C8" s="11" t="s">
        <v>62</v>
      </c>
      <c r="D8" s="11" t="s">
        <v>48</v>
      </c>
      <c r="E8" s="11" t="s">
        <v>63</v>
      </c>
      <c r="F8" s="11" t="s">
        <v>64</v>
      </c>
      <c r="G8" s="11" t="s">
        <v>65</v>
      </c>
      <c r="H8" s="11" t="s">
        <v>52</v>
      </c>
      <c r="I8" s="11" t="s">
        <v>66</v>
      </c>
      <c r="J8" s="11" t="s">
        <v>37</v>
      </c>
    </row>
    <row r="9" customFormat="false" ht="15" hidden="false" customHeight="false" outlineLevel="0" collapsed="false">
      <c r="A9" s="8" t="n">
        <v>6</v>
      </c>
      <c r="B9" s="9" t="s">
        <v>67</v>
      </c>
      <c r="C9" s="9" t="s">
        <v>68</v>
      </c>
      <c r="D9" s="9" t="s">
        <v>69</v>
      </c>
      <c r="E9" s="9" t="s">
        <v>70</v>
      </c>
      <c r="F9" s="9" t="s">
        <v>71</v>
      </c>
      <c r="G9" s="9" t="s">
        <v>72</v>
      </c>
      <c r="H9" s="9" t="s">
        <v>44</v>
      </c>
      <c r="I9" s="9" t="s">
        <v>73</v>
      </c>
      <c r="J9" s="9" t="s">
        <v>37</v>
      </c>
    </row>
    <row r="10" customFormat="false" ht="15" hidden="false" customHeight="false" outlineLevel="0" collapsed="false">
      <c r="A10" s="10" t="n">
        <v>7</v>
      </c>
      <c r="B10" s="11" t="s">
        <v>74</v>
      </c>
      <c r="C10" s="11" t="s">
        <v>47</v>
      </c>
      <c r="D10" s="11" t="s">
        <v>75</v>
      </c>
      <c r="E10" s="11" t="s">
        <v>76</v>
      </c>
      <c r="F10" s="11" t="s">
        <v>77</v>
      </c>
      <c r="G10" s="11" t="s">
        <v>78</v>
      </c>
      <c r="H10" s="11" t="s">
        <v>52</v>
      </c>
      <c r="I10" s="11" t="s">
        <v>79</v>
      </c>
      <c r="J10" s="11" t="s">
        <v>37</v>
      </c>
    </row>
    <row r="11" customFormat="false" ht="15" hidden="false" customHeight="false" outlineLevel="0" collapsed="false">
      <c r="A11" s="8" t="n">
        <v>8</v>
      </c>
      <c r="B11" s="9" t="s">
        <v>80</v>
      </c>
      <c r="C11" s="9" t="s">
        <v>81</v>
      </c>
      <c r="D11" s="9" t="s">
        <v>82</v>
      </c>
      <c r="E11" s="9" t="s">
        <v>83</v>
      </c>
      <c r="F11" s="9" t="s">
        <v>84</v>
      </c>
      <c r="G11" s="9" t="s">
        <v>85</v>
      </c>
      <c r="H11" s="9" t="s">
        <v>44</v>
      </c>
      <c r="I11" s="9" t="s">
        <v>86</v>
      </c>
      <c r="J11" s="9" t="s">
        <v>37</v>
      </c>
    </row>
    <row r="12" customFormat="false" ht="15" hidden="false" customHeight="false" outlineLevel="0" collapsed="false">
      <c r="A12" s="10" t="n">
        <v>9</v>
      </c>
      <c r="B12" s="11" t="s">
        <v>87</v>
      </c>
      <c r="C12" s="11" t="s">
        <v>88</v>
      </c>
      <c r="D12" s="11" t="s">
        <v>89</v>
      </c>
      <c r="E12" s="11" t="s">
        <v>90</v>
      </c>
      <c r="F12" s="11" t="s">
        <v>91</v>
      </c>
      <c r="G12" s="11" t="s">
        <v>92</v>
      </c>
      <c r="H12" s="11" t="s">
        <v>52</v>
      </c>
      <c r="I12" s="11" t="s">
        <v>66</v>
      </c>
      <c r="J12" s="11" t="s">
        <v>37</v>
      </c>
    </row>
    <row r="13" customFormat="false" ht="15" hidden="false" customHeight="false" outlineLevel="0" collapsed="false">
      <c r="A13" s="8" t="n">
        <v>10</v>
      </c>
      <c r="B13" s="9" t="s">
        <v>93</v>
      </c>
      <c r="C13" s="9" t="s">
        <v>94</v>
      </c>
      <c r="D13" s="9" t="s">
        <v>56</v>
      </c>
      <c r="E13" s="9" t="s">
        <v>95</v>
      </c>
      <c r="F13" s="9" t="s">
        <v>96</v>
      </c>
      <c r="G13" s="9" t="s">
        <v>97</v>
      </c>
      <c r="H13" s="9" t="s">
        <v>52</v>
      </c>
      <c r="I13" s="9" t="s">
        <v>66</v>
      </c>
      <c r="J13" s="9" t="s">
        <v>37</v>
      </c>
    </row>
    <row r="14" customFormat="false" ht="15" hidden="false" customHeight="false" outlineLevel="0" collapsed="false">
      <c r="A14" s="10" t="n">
        <v>11</v>
      </c>
      <c r="B14" s="11" t="s">
        <v>98</v>
      </c>
      <c r="C14" s="11" t="s">
        <v>39</v>
      </c>
      <c r="D14" s="11" t="s">
        <v>99</v>
      </c>
      <c r="E14" s="11" t="s">
        <v>100</v>
      </c>
      <c r="F14" s="11" t="s">
        <v>101</v>
      </c>
      <c r="G14" s="11" t="s">
        <v>102</v>
      </c>
      <c r="H14" s="11" t="s">
        <v>52</v>
      </c>
      <c r="I14" s="11" t="s">
        <v>66</v>
      </c>
      <c r="J14" s="11" t="s">
        <v>37</v>
      </c>
    </row>
    <row r="15" customFormat="false" ht="15" hidden="false" customHeight="false" outlineLevel="0" collapsed="false">
      <c r="A15" s="8" t="n">
        <v>12</v>
      </c>
      <c r="B15" s="9" t="s">
        <v>103</v>
      </c>
      <c r="C15" s="9" t="s">
        <v>68</v>
      </c>
      <c r="D15" s="9" t="s">
        <v>48</v>
      </c>
      <c r="E15" s="9" t="s">
        <v>104</v>
      </c>
      <c r="F15" s="9" t="s">
        <v>105</v>
      </c>
      <c r="G15" s="9" t="s">
        <v>106</v>
      </c>
      <c r="H15" s="9" t="s">
        <v>52</v>
      </c>
      <c r="I15" s="9" t="s">
        <v>107</v>
      </c>
      <c r="J15" s="9" t="s">
        <v>37</v>
      </c>
    </row>
    <row r="16" customFormat="false" ht="15" hidden="false" customHeight="false" outlineLevel="0" collapsed="false">
      <c r="A16" s="10" t="n">
        <v>13</v>
      </c>
      <c r="B16" s="11" t="s">
        <v>108</v>
      </c>
      <c r="C16" s="11" t="s">
        <v>47</v>
      </c>
      <c r="D16" s="11" t="s">
        <v>69</v>
      </c>
      <c r="E16" s="11" t="s">
        <v>109</v>
      </c>
      <c r="F16" s="11" t="s">
        <v>110</v>
      </c>
      <c r="G16" s="11" t="s">
        <v>111</v>
      </c>
      <c r="H16" s="11" t="s">
        <v>44</v>
      </c>
      <c r="I16" s="11" t="s">
        <v>112</v>
      </c>
      <c r="J16" s="11" t="s">
        <v>37</v>
      </c>
    </row>
    <row r="17" customFormat="false" ht="15" hidden="false" customHeight="false" outlineLevel="0" collapsed="false">
      <c r="A17" s="8" t="n">
        <v>14</v>
      </c>
      <c r="B17" s="9" t="s">
        <v>113</v>
      </c>
      <c r="C17" s="9" t="s">
        <v>114</v>
      </c>
      <c r="D17" s="9" t="s">
        <v>56</v>
      </c>
      <c r="E17" s="9" t="s">
        <v>115</v>
      </c>
      <c r="F17" s="9" t="s">
        <v>116</v>
      </c>
      <c r="G17" s="9" t="s">
        <v>117</v>
      </c>
      <c r="H17" s="9" t="s">
        <v>52</v>
      </c>
      <c r="I17" s="9" t="s">
        <v>118</v>
      </c>
      <c r="J17" s="9" t="s">
        <v>37</v>
      </c>
    </row>
    <row r="18" customFormat="false" ht="23.85" hidden="false" customHeight="false" outlineLevel="0" collapsed="false">
      <c r="A18" s="6" t="n">
        <v>15</v>
      </c>
      <c r="B18" s="7" t="s">
        <v>119</v>
      </c>
      <c r="C18" s="7" t="s">
        <v>30</v>
      </c>
      <c r="D18" s="7" t="s">
        <v>31</v>
      </c>
      <c r="E18" s="7" t="s">
        <v>120</v>
      </c>
      <c r="F18" s="7" t="s">
        <v>121</v>
      </c>
      <c r="G18" s="7" t="s">
        <v>122</v>
      </c>
      <c r="H18" s="7" t="s">
        <v>35</v>
      </c>
      <c r="I18" s="7" t="s">
        <v>66</v>
      </c>
      <c r="J18" s="7" t="s">
        <v>37</v>
      </c>
    </row>
    <row r="19" customFormat="false" ht="15" hidden="false" customHeight="false" outlineLevel="0" collapsed="false">
      <c r="A19" s="8" t="n">
        <v>16</v>
      </c>
      <c r="B19" s="9" t="s">
        <v>123</v>
      </c>
      <c r="C19" s="9" t="s">
        <v>62</v>
      </c>
      <c r="D19" s="9" t="s">
        <v>48</v>
      </c>
      <c r="E19" s="9" t="s">
        <v>124</v>
      </c>
      <c r="F19" s="9" t="s">
        <v>125</v>
      </c>
      <c r="G19" s="9" t="s">
        <v>126</v>
      </c>
      <c r="H19" s="9" t="s">
        <v>52</v>
      </c>
      <c r="I19" s="9" t="s">
        <v>66</v>
      </c>
      <c r="J19" s="9" t="s">
        <v>37</v>
      </c>
    </row>
    <row r="20" customFormat="false" ht="15" hidden="false" customHeight="false" outlineLevel="0" collapsed="false">
      <c r="A20" s="10" t="n">
        <v>17</v>
      </c>
      <c r="B20" s="11" t="s">
        <v>127</v>
      </c>
      <c r="C20" s="11" t="s">
        <v>128</v>
      </c>
      <c r="D20" s="11" t="s">
        <v>89</v>
      </c>
      <c r="E20" s="11" t="s">
        <v>129</v>
      </c>
      <c r="F20" s="11" t="s">
        <v>130</v>
      </c>
      <c r="G20" s="11" t="s">
        <v>131</v>
      </c>
      <c r="H20" s="11" t="s">
        <v>52</v>
      </c>
      <c r="I20" s="11" t="s">
        <v>66</v>
      </c>
      <c r="J20" s="11" t="s">
        <v>37</v>
      </c>
    </row>
    <row r="21" customFormat="false" ht="15" hidden="false" customHeight="false" outlineLevel="0" collapsed="false">
      <c r="A21" s="8" t="n">
        <v>18</v>
      </c>
      <c r="B21" s="9" t="s">
        <v>132</v>
      </c>
      <c r="C21" s="9" t="s">
        <v>68</v>
      </c>
      <c r="D21" s="9" t="s">
        <v>82</v>
      </c>
      <c r="E21" s="9" t="s">
        <v>133</v>
      </c>
      <c r="F21" s="9" t="s">
        <v>134</v>
      </c>
      <c r="G21" s="9" t="s">
        <v>135</v>
      </c>
      <c r="H21" s="9" t="s">
        <v>44</v>
      </c>
      <c r="I21" s="9" t="s">
        <v>136</v>
      </c>
      <c r="J21" s="9" t="s">
        <v>37</v>
      </c>
    </row>
    <row r="22" customFormat="false" ht="15" hidden="false" customHeight="false" outlineLevel="0" collapsed="false">
      <c r="A22" s="10" t="n">
        <v>19</v>
      </c>
      <c r="B22" s="11" t="s">
        <v>137</v>
      </c>
      <c r="C22" s="11" t="s">
        <v>47</v>
      </c>
      <c r="D22" s="11" t="s">
        <v>99</v>
      </c>
      <c r="E22" s="11" t="s">
        <v>138</v>
      </c>
      <c r="F22" s="11" t="s">
        <v>139</v>
      </c>
      <c r="G22" s="11" t="s">
        <v>140</v>
      </c>
      <c r="H22" s="11" t="s">
        <v>52</v>
      </c>
      <c r="I22" s="11" t="s">
        <v>66</v>
      </c>
      <c r="J22" s="11" t="s">
        <v>37</v>
      </c>
    </row>
    <row r="23" customFormat="false" ht="15" hidden="false" customHeight="false" outlineLevel="0" collapsed="false">
      <c r="A23" s="8" t="n">
        <v>20</v>
      </c>
      <c r="B23" s="9" t="s">
        <v>141</v>
      </c>
      <c r="C23" s="9" t="s">
        <v>55</v>
      </c>
      <c r="D23" s="9" t="s">
        <v>69</v>
      </c>
      <c r="E23" s="9" t="s">
        <v>142</v>
      </c>
      <c r="F23" s="9" t="s">
        <v>143</v>
      </c>
      <c r="G23" s="9" t="s">
        <v>144</v>
      </c>
      <c r="H23" s="9" t="s">
        <v>44</v>
      </c>
      <c r="I23" s="9" t="s">
        <v>145</v>
      </c>
      <c r="J23" s="9" t="s">
        <v>37</v>
      </c>
    </row>
    <row r="24" customFormat="false" ht="15" hidden="false" customHeight="false" outlineLevel="0" collapsed="false">
      <c r="A24" s="10" t="n">
        <v>21</v>
      </c>
      <c r="B24" s="11" t="s">
        <v>146</v>
      </c>
      <c r="C24" s="11" t="s">
        <v>39</v>
      </c>
      <c r="D24" s="11" t="s">
        <v>40</v>
      </c>
      <c r="E24" s="11" t="s">
        <v>147</v>
      </c>
      <c r="F24" s="11" t="s">
        <v>148</v>
      </c>
      <c r="G24" s="11" t="s">
        <v>149</v>
      </c>
      <c r="H24" s="11" t="s">
        <v>52</v>
      </c>
      <c r="I24" s="11" t="s">
        <v>66</v>
      </c>
      <c r="J24" s="11" t="s">
        <v>37</v>
      </c>
    </row>
    <row r="25" customFormat="false" ht="23.85" hidden="false" customHeight="false" outlineLevel="0" collapsed="false">
      <c r="A25" s="8" t="n">
        <v>22</v>
      </c>
      <c r="B25" s="9" t="s">
        <v>150</v>
      </c>
      <c r="C25" s="9" t="s">
        <v>94</v>
      </c>
      <c r="D25" s="9" t="s">
        <v>56</v>
      </c>
      <c r="E25" s="9" t="s">
        <v>151</v>
      </c>
      <c r="F25" s="9" t="s">
        <v>152</v>
      </c>
      <c r="G25" s="9" t="s">
        <v>153</v>
      </c>
      <c r="H25" s="9" t="s">
        <v>52</v>
      </c>
      <c r="I25" s="9" t="s">
        <v>154</v>
      </c>
      <c r="J25" s="9" t="s">
        <v>37</v>
      </c>
    </row>
    <row r="26" customFormat="false" ht="15" hidden="false" customHeight="false" outlineLevel="0" collapsed="false">
      <c r="A26" s="10" t="n">
        <v>23</v>
      </c>
      <c r="B26" s="11" t="s">
        <v>155</v>
      </c>
      <c r="C26" s="11" t="s">
        <v>68</v>
      </c>
      <c r="D26" s="11" t="s">
        <v>48</v>
      </c>
      <c r="E26" s="11" t="s">
        <v>156</v>
      </c>
      <c r="F26" s="11" t="s">
        <v>157</v>
      </c>
      <c r="G26" s="11" t="s">
        <v>158</v>
      </c>
      <c r="H26" s="11" t="s">
        <v>52</v>
      </c>
      <c r="I26" s="11" t="s">
        <v>66</v>
      </c>
      <c r="J26" s="11" t="s">
        <v>37</v>
      </c>
    </row>
    <row r="27" customFormat="false" ht="15" hidden="false" customHeight="false" outlineLevel="0" collapsed="false">
      <c r="A27" s="8" t="n">
        <v>24</v>
      </c>
      <c r="B27" s="9" t="s">
        <v>159</v>
      </c>
      <c r="C27" s="9" t="s">
        <v>47</v>
      </c>
      <c r="D27" s="9" t="s">
        <v>56</v>
      </c>
      <c r="E27" s="9" t="s">
        <v>160</v>
      </c>
      <c r="F27" s="9" t="s">
        <v>161</v>
      </c>
      <c r="G27" s="9" t="s">
        <v>162</v>
      </c>
      <c r="H27" s="9" t="s">
        <v>52</v>
      </c>
      <c r="I27" s="9" t="s">
        <v>66</v>
      </c>
      <c r="J27" s="9" t="s">
        <v>37</v>
      </c>
    </row>
    <row r="28" customFormat="false" ht="15" hidden="false" customHeight="false" outlineLevel="0" collapsed="false">
      <c r="A28" s="10" t="n">
        <v>25</v>
      </c>
      <c r="B28" s="11" t="s">
        <v>163</v>
      </c>
      <c r="C28" s="11" t="s">
        <v>81</v>
      </c>
      <c r="D28" s="11" t="s">
        <v>82</v>
      </c>
      <c r="E28" s="11" t="s">
        <v>164</v>
      </c>
      <c r="F28" s="11" t="s">
        <v>165</v>
      </c>
      <c r="G28" s="11" t="s">
        <v>166</v>
      </c>
      <c r="H28" s="11" t="s">
        <v>44</v>
      </c>
      <c r="I28" s="11" t="s">
        <v>167</v>
      </c>
      <c r="J28" s="11" t="s">
        <v>37</v>
      </c>
    </row>
    <row r="29" customFormat="false" ht="15" hidden="false" customHeight="false" outlineLevel="0" collapsed="false">
      <c r="A29" s="8" t="n">
        <v>26</v>
      </c>
      <c r="B29" s="9" t="s">
        <v>168</v>
      </c>
      <c r="C29" s="9" t="s">
        <v>88</v>
      </c>
      <c r="D29" s="9" t="s">
        <v>48</v>
      </c>
      <c r="E29" s="9" t="s">
        <v>169</v>
      </c>
      <c r="F29" s="9" t="s">
        <v>170</v>
      </c>
      <c r="G29" s="9" t="s">
        <v>171</v>
      </c>
      <c r="H29" s="9" t="s">
        <v>52</v>
      </c>
      <c r="I29" s="9" t="s">
        <v>66</v>
      </c>
      <c r="J29" s="9" t="s">
        <v>37</v>
      </c>
    </row>
    <row r="30" customFormat="false" ht="15" hidden="false" customHeight="false" outlineLevel="0" collapsed="false">
      <c r="A30" s="10" t="n">
        <v>27</v>
      </c>
      <c r="B30" s="11" t="s">
        <v>172</v>
      </c>
      <c r="C30" s="11" t="s">
        <v>62</v>
      </c>
      <c r="D30" s="11" t="s">
        <v>69</v>
      </c>
      <c r="E30" s="11" t="s">
        <v>173</v>
      </c>
      <c r="F30" s="11" t="s">
        <v>174</v>
      </c>
      <c r="G30" s="11" t="s">
        <v>175</v>
      </c>
      <c r="H30" s="11" t="s">
        <v>52</v>
      </c>
      <c r="I30" s="11" t="s">
        <v>66</v>
      </c>
      <c r="J30" s="11" t="s">
        <v>37</v>
      </c>
    </row>
    <row r="31" customFormat="false" ht="15" hidden="false" customHeight="false" outlineLevel="0" collapsed="false">
      <c r="A31" s="8" t="n">
        <v>28</v>
      </c>
      <c r="B31" s="9" t="s">
        <v>176</v>
      </c>
      <c r="C31" s="9" t="s">
        <v>47</v>
      </c>
      <c r="D31" s="9" t="s">
        <v>75</v>
      </c>
      <c r="E31" s="9" t="s">
        <v>177</v>
      </c>
      <c r="F31" s="9" t="s">
        <v>178</v>
      </c>
      <c r="G31" s="9" t="s">
        <v>179</v>
      </c>
      <c r="H31" s="9" t="s">
        <v>52</v>
      </c>
      <c r="I31" s="9" t="s">
        <v>79</v>
      </c>
      <c r="J31" s="9" t="s">
        <v>37</v>
      </c>
    </row>
    <row r="32" customFormat="false" ht="15" hidden="false" customHeight="false" outlineLevel="0" collapsed="false">
      <c r="A32" s="10" t="n">
        <v>29</v>
      </c>
      <c r="B32" s="11" t="s">
        <v>180</v>
      </c>
      <c r="C32" s="11" t="s">
        <v>68</v>
      </c>
      <c r="D32" s="11" t="s">
        <v>40</v>
      </c>
      <c r="E32" s="11" t="s">
        <v>181</v>
      </c>
      <c r="F32" s="11" t="s">
        <v>182</v>
      </c>
      <c r="G32" s="11" t="s">
        <v>183</v>
      </c>
      <c r="H32" s="11" t="s">
        <v>44</v>
      </c>
      <c r="I32" s="11" t="s">
        <v>66</v>
      </c>
      <c r="J32" s="11" t="s">
        <v>37</v>
      </c>
    </row>
    <row r="33" customFormat="false" ht="23.85" hidden="false" customHeight="false" outlineLevel="0" collapsed="false">
      <c r="A33" s="6" t="n">
        <v>30</v>
      </c>
      <c r="B33" s="7" t="s">
        <v>184</v>
      </c>
      <c r="C33" s="7" t="s">
        <v>30</v>
      </c>
      <c r="D33" s="7" t="s">
        <v>31</v>
      </c>
      <c r="E33" s="7" t="s">
        <v>185</v>
      </c>
      <c r="F33" s="7" t="s">
        <v>186</v>
      </c>
      <c r="G33" s="7" t="s">
        <v>122</v>
      </c>
      <c r="H33" s="7" t="s">
        <v>35</v>
      </c>
      <c r="I33" s="7" t="s">
        <v>66</v>
      </c>
      <c r="J33" s="7" t="s">
        <v>37</v>
      </c>
    </row>
  </sheetData>
  <autoFilter ref="A3:J33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3.85" hidden="false" customHeight="false" outlineLevel="0" collapsed="false">
      <c r="A2" s="5" t="s">
        <v>19</v>
      </c>
      <c r="B2" s="5" t="s">
        <v>20</v>
      </c>
      <c r="C2" s="5" t="s">
        <v>188</v>
      </c>
      <c r="D2" s="5" t="s">
        <v>189</v>
      </c>
      <c r="E2" s="5" t="s">
        <v>190</v>
      </c>
      <c r="F2" s="5" t="s">
        <v>191</v>
      </c>
      <c r="G2" s="5" t="s">
        <v>192</v>
      </c>
      <c r="H2" s="5" t="s">
        <v>193</v>
      </c>
      <c r="I2" s="5" t="s">
        <v>194</v>
      </c>
      <c r="J2" s="5" t="s">
        <v>195</v>
      </c>
    </row>
    <row r="3" customFormat="false" ht="15" hidden="false" customHeight="false" outlineLevel="0" collapsed="false">
      <c r="A3" s="12" t="n">
        <v>1</v>
      </c>
      <c r="B3" s="13" t="s">
        <v>29</v>
      </c>
      <c r="C3" s="3"/>
      <c r="D3" s="14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12" t="n">
        <v>2</v>
      </c>
      <c r="B4" s="13" t="s">
        <v>38</v>
      </c>
      <c r="C4" s="3"/>
      <c r="D4" s="14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12" t="n">
        <v>3</v>
      </c>
      <c r="B5" s="13" t="s">
        <v>46</v>
      </c>
      <c r="C5" s="3"/>
      <c r="D5" s="14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A6" s="12" t="n">
        <v>4</v>
      </c>
      <c r="B6" s="13" t="s">
        <v>54</v>
      </c>
      <c r="C6" s="3"/>
      <c r="D6" s="14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12" t="n">
        <v>5</v>
      </c>
      <c r="B7" s="13" t="s">
        <v>61</v>
      </c>
      <c r="C7" s="3"/>
      <c r="D7" s="14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12" t="n">
        <v>6</v>
      </c>
      <c r="B8" s="13" t="s">
        <v>67</v>
      </c>
      <c r="C8" s="3"/>
      <c r="D8" s="14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12" t="n">
        <v>7</v>
      </c>
      <c r="B9" s="13" t="s">
        <v>74</v>
      </c>
      <c r="C9" s="3"/>
      <c r="D9" s="14"/>
      <c r="E9" s="3"/>
      <c r="F9" s="3"/>
      <c r="G9" s="3"/>
      <c r="H9" s="3"/>
      <c r="I9" s="3"/>
      <c r="J9" s="3"/>
    </row>
    <row r="10" customFormat="false" ht="15" hidden="false" customHeight="false" outlineLevel="0" collapsed="false">
      <c r="A10" s="12" t="n">
        <v>8</v>
      </c>
      <c r="B10" s="13" t="s">
        <v>80</v>
      </c>
      <c r="C10" s="3"/>
      <c r="D10" s="14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12" t="n">
        <v>9</v>
      </c>
      <c r="B11" s="13" t="s">
        <v>87</v>
      </c>
      <c r="C11" s="3"/>
      <c r="D11" s="14"/>
      <c r="E11" s="3"/>
      <c r="F11" s="3"/>
      <c r="G11" s="3"/>
      <c r="H11" s="3"/>
      <c r="I11" s="3"/>
      <c r="J11" s="3"/>
    </row>
    <row r="12" customFormat="false" ht="15" hidden="false" customHeight="false" outlineLevel="0" collapsed="false">
      <c r="A12" s="12" t="n">
        <v>10</v>
      </c>
      <c r="B12" s="13" t="s">
        <v>93</v>
      </c>
      <c r="C12" s="3"/>
      <c r="D12" s="14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12" t="n">
        <v>11</v>
      </c>
      <c r="B13" s="13" t="s">
        <v>98</v>
      </c>
      <c r="C13" s="3"/>
      <c r="D13" s="14"/>
      <c r="E13" s="3"/>
      <c r="F13" s="3"/>
      <c r="G13" s="3"/>
      <c r="H13" s="3"/>
      <c r="I13" s="3"/>
      <c r="J13" s="3"/>
    </row>
    <row r="14" customFormat="false" ht="15" hidden="false" customHeight="false" outlineLevel="0" collapsed="false">
      <c r="A14" s="12" t="n">
        <v>12</v>
      </c>
      <c r="B14" s="13" t="s">
        <v>103</v>
      </c>
      <c r="C14" s="3"/>
      <c r="D14" s="14"/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12" t="n">
        <v>13</v>
      </c>
      <c r="B15" s="13" t="s">
        <v>108</v>
      </c>
      <c r="C15" s="3"/>
      <c r="D15" s="14"/>
      <c r="E15" s="3"/>
      <c r="F15" s="3"/>
      <c r="G15" s="3"/>
      <c r="H15" s="3"/>
      <c r="I15" s="3"/>
      <c r="J15" s="3"/>
    </row>
    <row r="16" customFormat="false" ht="15" hidden="false" customHeight="false" outlineLevel="0" collapsed="false">
      <c r="A16" s="12" t="n">
        <v>14</v>
      </c>
      <c r="B16" s="13" t="s">
        <v>113</v>
      </c>
      <c r="C16" s="3"/>
      <c r="D16" s="14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A17" s="12" t="n">
        <v>15</v>
      </c>
      <c r="B17" s="13" t="s">
        <v>119</v>
      </c>
      <c r="C17" s="3"/>
      <c r="D17" s="14"/>
      <c r="E17" s="3"/>
      <c r="F17" s="3"/>
      <c r="G17" s="3"/>
      <c r="H17" s="3"/>
      <c r="I17" s="3"/>
      <c r="J17" s="3"/>
    </row>
    <row r="18" customFormat="false" ht="15" hidden="false" customHeight="false" outlineLevel="0" collapsed="false">
      <c r="A18" s="12" t="n">
        <v>16</v>
      </c>
      <c r="B18" s="13" t="s">
        <v>123</v>
      </c>
      <c r="C18" s="3"/>
      <c r="D18" s="14"/>
      <c r="E18" s="3"/>
      <c r="F18" s="3"/>
      <c r="G18" s="3"/>
      <c r="H18" s="3"/>
      <c r="I18" s="3"/>
      <c r="J18" s="3"/>
    </row>
    <row r="19" customFormat="false" ht="15" hidden="false" customHeight="false" outlineLevel="0" collapsed="false">
      <c r="A19" s="12" t="n">
        <v>17</v>
      </c>
      <c r="B19" s="13" t="s">
        <v>127</v>
      </c>
      <c r="C19" s="3"/>
      <c r="D19" s="14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A20" s="12" t="n">
        <v>18</v>
      </c>
      <c r="B20" s="13" t="s">
        <v>132</v>
      </c>
      <c r="C20" s="3"/>
      <c r="D20" s="14"/>
      <c r="E20" s="3"/>
      <c r="F20" s="3"/>
      <c r="G20" s="3"/>
      <c r="H20" s="3"/>
      <c r="I20" s="3"/>
      <c r="J20" s="3"/>
    </row>
    <row r="21" customFormat="false" ht="15" hidden="false" customHeight="false" outlineLevel="0" collapsed="false">
      <c r="A21" s="12" t="n">
        <v>19</v>
      </c>
      <c r="B21" s="13" t="s">
        <v>137</v>
      </c>
      <c r="C21" s="3"/>
      <c r="D21" s="14"/>
      <c r="E21" s="3"/>
      <c r="F21" s="3"/>
      <c r="G21" s="3"/>
      <c r="H21" s="3"/>
      <c r="I21" s="3"/>
      <c r="J21" s="3"/>
    </row>
    <row r="22" customFormat="false" ht="15" hidden="false" customHeight="false" outlineLevel="0" collapsed="false">
      <c r="A22" s="12" t="n">
        <v>20</v>
      </c>
      <c r="B22" s="13" t="s">
        <v>141</v>
      </c>
      <c r="C22" s="3"/>
      <c r="D22" s="14"/>
      <c r="E22" s="3"/>
      <c r="F22" s="3"/>
      <c r="G22" s="3"/>
      <c r="H22" s="3"/>
      <c r="I22" s="3"/>
      <c r="J22" s="3"/>
    </row>
    <row r="23" customFormat="false" ht="15" hidden="false" customHeight="false" outlineLevel="0" collapsed="false">
      <c r="A23" s="12" t="n">
        <v>21</v>
      </c>
      <c r="B23" s="13" t="s">
        <v>146</v>
      </c>
      <c r="C23" s="3"/>
      <c r="D23" s="14"/>
      <c r="E23" s="3"/>
      <c r="F23" s="3"/>
      <c r="G23" s="3"/>
      <c r="H23" s="3"/>
      <c r="I23" s="3"/>
      <c r="J23" s="3"/>
    </row>
    <row r="24" customFormat="false" ht="15" hidden="false" customHeight="false" outlineLevel="0" collapsed="false">
      <c r="A24" s="12" t="n">
        <v>22</v>
      </c>
      <c r="B24" s="13" t="s">
        <v>150</v>
      </c>
      <c r="C24" s="3"/>
      <c r="D24" s="14"/>
      <c r="E24" s="3"/>
      <c r="F24" s="3"/>
      <c r="G24" s="3"/>
      <c r="H24" s="3"/>
      <c r="I24" s="3"/>
      <c r="J24" s="3"/>
    </row>
    <row r="25" customFormat="false" ht="15" hidden="false" customHeight="false" outlineLevel="0" collapsed="false">
      <c r="A25" s="12" t="n">
        <v>23</v>
      </c>
      <c r="B25" s="13" t="s">
        <v>155</v>
      </c>
      <c r="C25" s="3"/>
      <c r="D25" s="14"/>
      <c r="E25" s="3"/>
      <c r="F25" s="3"/>
      <c r="G25" s="3"/>
      <c r="H25" s="3"/>
      <c r="I25" s="3"/>
      <c r="J25" s="3"/>
    </row>
    <row r="26" customFormat="false" ht="15" hidden="false" customHeight="false" outlineLevel="0" collapsed="false">
      <c r="A26" s="12" t="n">
        <v>24</v>
      </c>
      <c r="B26" s="13" t="s">
        <v>159</v>
      </c>
      <c r="C26" s="3"/>
      <c r="D26" s="14"/>
      <c r="E26" s="3"/>
      <c r="F26" s="3"/>
      <c r="G26" s="3"/>
      <c r="H26" s="3"/>
      <c r="I26" s="3"/>
      <c r="J26" s="3"/>
    </row>
    <row r="27" customFormat="false" ht="15" hidden="false" customHeight="false" outlineLevel="0" collapsed="false">
      <c r="A27" s="12" t="n">
        <v>25</v>
      </c>
      <c r="B27" s="13" t="s">
        <v>163</v>
      </c>
      <c r="C27" s="3"/>
      <c r="D27" s="14"/>
      <c r="E27" s="3"/>
      <c r="F27" s="3"/>
      <c r="G27" s="3"/>
      <c r="H27" s="3"/>
      <c r="I27" s="3"/>
      <c r="J27" s="3"/>
    </row>
    <row r="28" customFormat="false" ht="15" hidden="false" customHeight="false" outlineLevel="0" collapsed="false">
      <c r="A28" s="12" t="n">
        <v>26</v>
      </c>
      <c r="B28" s="13" t="s">
        <v>168</v>
      </c>
      <c r="C28" s="3"/>
      <c r="D28" s="14"/>
      <c r="E28" s="3"/>
      <c r="F28" s="3"/>
      <c r="G28" s="3"/>
      <c r="H28" s="3"/>
      <c r="I28" s="3"/>
      <c r="J28" s="3"/>
    </row>
    <row r="29" customFormat="false" ht="15" hidden="false" customHeight="false" outlineLevel="0" collapsed="false">
      <c r="A29" s="12" t="n">
        <v>27</v>
      </c>
      <c r="B29" s="13" t="s">
        <v>172</v>
      </c>
      <c r="C29" s="3"/>
      <c r="D29" s="14"/>
      <c r="E29" s="3"/>
      <c r="F29" s="3"/>
      <c r="G29" s="3"/>
      <c r="H29" s="3"/>
      <c r="I29" s="3"/>
      <c r="J29" s="3"/>
    </row>
    <row r="30" customFormat="false" ht="15" hidden="false" customHeight="false" outlineLevel="0" collapsed="false">
      <c r="A30" s="12" t="n">
        <v>28</v>
      </c>
      <c r="B30" s="13" t="s">
        <v>176</v>
      </c>
      <c r="C30" s="3"/>
      <c r="D30" s="14"/>
      <c r="E30" s="3"/>
      <c r="F30" s="3"/>
      <c r="G30" s="3"/>
      <c r="H30" s="3"/>
      <c r="I30" s="3"/>
      <c r="J30" s="3"/>
    </row>
    <row r="31" customFormat="false" ht="15" hidden="false" customHeight="false" outlineLevel="0" collapsed="false">
      <c r="A31" s="12" t="n">
        <v>29</v>
      </c>
      <c r="B31" s="13" t="s">
        <v>180</v>
      </c>
      <c r="C31" s="3"/>
      <c r="D31" s="14"/>
      <c r="E31" s="3"/>
      <c r="F31" s="3"/>
      <c r="G31" s="3"/>
      <c r="H31" s="3"/>
      <c r="I31" s="3"/>
      <c r="J31" s="3"/>
    </row>
    <row r="32" customFormat="false" ht="15" hidden="false" customHeight="false" outlineLevel="0" collapsed="false">
      <c r="A32" s="12" t="n">
        <v>30</v>
      </c>
      <c r="B32" s="13" t="s">
        <v>184</v>
      </c>
      <c r="C32" s="3"/>
      <c r="D32" s="14"/>
      <c r="E32" s="3"/>
      <c r="F32" s="3"/>
      <c r="G32" s="3"/>
      <c r="H32" s="3"/>
      <c r="I32" s="3"/>
      <c r="J32" s="3"/>
    </row>
    <row r="33" customFormat="false" ht="15" hidden="false" customHeight="false" outlineLevel="0" collapsed="false">
      <c r="B33" s="15" t="s">
        <v>196</v>
      </c>
      <c r="C33" s="15" t="n">
        <f aca="false">SUM(C3:C32)</f>
        <v>0</v>
      </c>
      <c r="D33" s="16" t="n">
        <f aca="false">IFERROR(AVERAGE(D3:D32),0)</f>
        <v>0</v>
      </c>
      <c r="E33" s="15" t="n">
        <f aca="false">SUM(E3:E32)</f>
        <v>0</v>
      </c>
      <c r="F33" s="15" t="n">
        <f aca="false">SUM(F3:F32)</f>
        <v>0</v>
      </c>
      <c r="G33" s="15" t="n">
        <f aca="false">SUM(G3:G32)</f>
        <v>0</v>
      </c>
      <c r="H33" s="15" t="n">
        <f aca="false">SUM(H3:H32)</f>
        <v>0</v>
      </c>
      <c r="I33" s="15" t="n">
        <f aca="false">SUM(I3:I32)</f>
        <v>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26"/>
  </cols>
  <sheetData>
    <row r="1" customFormat="false" ht="25.5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5" t="s">
        <v>198</v>
      </c>
      <c r="B2" s="5" t="s">
        <v>199</v>
      </c>
      <c r="C2" s="5" t="s">
        <v>200</v>
      </c>
      <c r="D2" s="5" t="s">
        <v>201</v>
      </c>
      <c r="E2" s="5" t="s">
        <v>202</v>
      </c>
      <c r="F2" s="5" t="s">
        <v>203</v>
      </c>
      <c r="G2" s="5" t="s">
        <v>204</v>
      </c>
      <c r="H2" s="5" t="s">
        <v>205</v>
      </c>
      <c r="I2" s="5" t="s">
        <v>206</v>
      </c>
      <c r="J2" s="5" t="s">
        <v>195</v>
      </c>
    </row>
    <row r="3" customFormat="false" ht="15" hidden="false" customHeight="false" outlineLevel="0" collapsed="false">
      <c r="A3" s="17" t="s">
        <v>207</v>
      </c>
      <c r="B3" s="17" t="s">
        <v>208</v>
      </c>
      <c r="C3" s="17" t="s">
        <v>209</v>
      </c>
      <c r="D3" s="17" t="s">
        <v>210</v>
      </c>
      <c r="E3" s="17"/>
      <c r="F3" s="17" t="s">
        <v>211</v>
      </c>
      <c r="G3" s="17"/>
      <c r="H3" s="17"/>
      <c r="I3" s="17"/>
      <c r="J3" s="17" t="s">
        <v>212</v>
      </c>
    </row>
    <row r="4" customFormat="false" ht="15" hidden="false" customHeight="false" outlineLevel="0" collapsed="false">
      <c r="A4" s="17" t="s">
        <v>213</v>
      </c>
      <c r="B4" s="17" t="s">
        <v>214</v>
      </c>
      <c r="C4" s="17" t="s">
        <v>215</v>
      </c>
      <c r="D4" s="17" t="s">
        <v>216</v>
      </c>
      <c r="E4" s="17"/>
      <c r="F4" s="17" t="s">
        <v>211</v>
      </c>
      <c r="G4" s="17"/>
      <c r="H4" s="17"/>
      <c r="I4" s="17"/>
      <c r="J4" s="17" t="s">
        <v>212</v>
      </c>
    </row>
    <row r="5" customFormat="false" ht="15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</row>
    <row r="6" customFormat="false" ht="15" hidden="false" customHeight="fals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2026-06-28T14:01:58Z</dcterms:created>
  <dc:creator>openpyxl</dc:creator>
  <dc:description/>
  <dc:language>en-US</dc:language>
  <cp:lastModifiedBy/>
  <dcterms:modified xsi:type="dcterms:W3CDTF">2026-06-28T14:01:58Z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